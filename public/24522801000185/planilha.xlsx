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8" i="1" s="1"/>
  <c r="M8" i="1" s="1"/>
  <c r="F5" i="1" l="1"/>
  <c r="M5" i="1" s="1"/>
  <c r="F12" i="1"/>
  <c r="M12" i="1" s="1"/>
  <c r="F13" i="1"/>
  <c r="M13" i="1" s="1"/>
  <c r="F11" i="1"/>
  <c r="M11" i="1" s="1"/>
  <c r="F10" i="1"/>
  <c r="M10" i="1" s="1"/>
  <c r="F9" i="1"/>
  <c r="M9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<sst xmlns="http://schemas.openxmlformats.org/spreadsheetml/2006/main" count="80" uniqueCount="45">
  <si>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</si>
  <si>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</si>
  <si>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</si>
  <si>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</si>
  <si>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</si>
  <si>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</si>
  <si>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</si>
  <si>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</si>
  <si>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</si>
  <si>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</si>
  <si>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</si>
  <si>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</si>
  <si>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</si>
  <si>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</si>
  <si>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</si>
  <si>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</si>
  <si>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</si>
  <si>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</si>
  <si>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</si>
  <si>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</si>
  <si>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YGOR FELIPE PEREIRA DA SILVA</t>
  </si>
  <si>
    <t>Enfermaria</t>
  </si>
  <si>
    <t>Masculino</t>
  </si>
  <si>
    <t xml:space="preserve">NELCILENA PEREIRA DA SILVA </t>
  </si>
  <si>
    <t>DELIANE GUIMARAES DE CARVALHO</t>
  </si>
  <si>
    <t xml:space="preserve">GENE CARLA RIBEIRO GUIMARAES </t>
  </si>
  <si>
    <t>Feminino</t>
  </si>
  <si>
    <t>Dependente</t>
  </si>
  <si>
    <t>Apartamento</t>
  </si>
  <si>
    <t>IVA PEREIRA DOS SANTOS</t>
  </si>
  <si>
    <t xml:space="preserve">WESLEY IVAM DOS SANTOS </t>
  </si>
  <si>
    <t>ANTONIO GODOI DOS SANTOS</t>
  </si>
  <si>
    <t>CAMILA SERAFIM DE GODOI SANTOS</t>
  </si>
  <si>
    <t>FILHO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</si>
  <si>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</si>
  <si>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</si>
  <si>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</si>
  <si>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</si>
  <si>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</si>
  <si>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</si>
  <si>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ERICK MORONI MELO MEDEIROS</t>
  </si>
  <si>
    <t>MEDEIROS &amp; NETO ADVOGADOS ASSOCIADOS</t>
  </si>
  <si>
    <t>ENTEADO</t>
  </si>
  <si>
    <t>ESPOSA</t>
  </si>
  <si>
    <t>24.522.801/0001-85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</si>
</sst>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24"/>
    <tableColumn id="2" name="Nome Completo" dataDxfId="23" totalsRowDxfId="22"/>
    <tableColumn id="3" name="Nome Titular" dataDxfId="21" totalsRowDxfId="20"/>
    <tableColumn id="4" name="CPF" dataDxfId="19" totalsRowDxfId="18"/>
    <tableColumn id="5" name="Data de Nascimento" dataDxfId="17" totalsRowDxfId="16" dataCellStyle="Moeda"/>
    <tableColumn id="6" name="Idade" dataDxfId="15" totalsRowDxfId="14">
      <calculatedColumnFormula>IF(D5="","",DATEDIF(E5,$M$2,"y"))</calculatedColumnFormula>
    </tableColumn>
    <tableColumn id="7" name="Nome da Mãe" dataDxfId="13" totalsRowDxfId="12"/>
    <tableColumn id="8" name="SAÚDE/ Acomodação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41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46162</v>
      </c>
    </row>
    <row r="3" spans="1:13" ht="15" thickBot="1" x14ac:dyDescent="0.35">
      <c r="A3" s="15" t="s">
        <v>11</v>
      </c>
      <c r="B3" s="43" t="s">
        <v>44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38</v>
      </c>
      <c r="C5" s="6" t="s">
        <v>38</v>
      </c>
      <c r="D5" s="8">
        <v>99454483153</v>
      </c>
      <c r="E5" s="22">
        <v>31030</v>
      </c>
      <c r="F5" s="23">
        <f t="shared" ref="F5" ca="1" si="0">IF(D5="","",DATEDIF(E5,$M$2,"y"))</f>
        <v>41</v>
      </c>
      <c r="G5" s="6" t="s">
        <v>39</v>
      </c>
      <c r="H5" s="4" t="s">
        <v>28</v>
      </c>
      <c r="I5" s="5" t="s">
        <v>22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241.97</v>
      </c>
    </row>
    <row r="6" spans="1:13" s="3" customFormat="1" ht="19.95" customHeight="1" x14ac:dyDescent="0.3">
      <c r="A6" s="5" t="s">
        <v>27</v>
      </c>
      <c r="B6" s="6" t="s">
        <v>36</v>
      </c>
      <c r="C6" s="6" t="s">
        <v>38</v>
      </c>
      <c r="D6" s="8">
        <v>6305878250</v>
      </c>
      <c r="E6" s="22">
        <v>42916</v>
      </c>
      <c r="F6" s="23">
        <f t="shared" ref="F6:F34" ca="1" si="2">IF(D6="","",DATEDIF(E6,$M$2,"y"))</f>
        <v>8</v>
      </c>
      <c r="G6" s="11" t="s">
        <v>34</v>
      </c>
      <c r="H6" s="4" t="s">
        <v>28</v>
      </c>
      <c r="I6" s="5" t="s">
        <v>26</v>
      </c>
      <c r="J6" s="5" t="s">
        <v>42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27</v>
      </c>
      <c r="B7" s="6" t="s">
        <v>37</v>
      </c>
      <c r="C7" s="6" t="s">
        <v>38</v>
      </c>
      <c r="D7" s="8">
        <v>71522615121</v>
      </c>
      <c r="E7" s="22">
        <v>42390</v>
      </c>
      <c r="F7" s="23">
        <f t="shared" ca="1" si="2"/>
        <v>10</v>
      </c>
      <c r="G7" s="11" t="s">
        <v>34</v>
      </c>
      <c r="H7" s="4" t="s">
        <v>28</v>
      </c>
      <c r="I7" s="5" t="s">
        <v>22</v>
      </c>
      <c r="J7" s="5" t="s">
        <v>42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 t="s">
        <v>27</v>
      </c>
      <c r="B8" s="6" t="s">
        <v>34</v>
      </c>
      <c r="C8" s="6" t="s">
        <v>38</v>
      </c>
      <c r="D8" s="8">
        <v>1844630250</v>
      </c>
      <c r="E8" s="22">
        <v>37731</v>
      </c>
      <c r="F8" s="23">
        <f ca="1">IF(D8="","",DATEDIF(E8,$M$2,"y"))</f>
        <v>23</v>
      </c>
      <c r="G8" s="11" t="s">
        <v>35</v>
      </c>
      <c r="H8" s="4" t="s">
        <v>28</v>
      </c>
      <c r="I8" s="5" t="s">
        <v>26</v>
      </c>
      <c r="J8" s="5" t="s">
        <v>43</v>
      </c>
      <c r="K8" s="10"/>
      <c r="L8" s="10"/>
      <c r="M8" s="28">
        <f ca="1">IF(AND(F8&lt;19,H8="enfermaria"),123.91,IF(AND(F8&lt;19,H8="Apartamento"),166.03,IF(AND(F8&gt;18,F8&lt;44,H8="enfermaria"),178.8,IF(AND(F8&gt;18,F8&lt;44,H8="Apartamento"),241.97,IF(AND(F8&gt;43,F8&lt;59,H8="enfermaria"),285.82,IF(AND(F8&gt;43,F8&lt;59,H8="Apartamento"),390.05,""))))))</f>
        <v>241.97</v>
      </c>
    </row>
    <row r="9" spans="1:13" s="3" customFormat="1" ht="19.95" customHeight="1" x14ac:dyDescent="0.3">
      <c r="A9" s="5" t="s">
        <v>27</v>
      </c>
      <c r="B9" s="6" t="s">
        <v>40</v>
      </c>
      <c r="C9" s="6" t="s">
        <v>38</v>
      </c>
      <c r="D9" s="8">
        <v>12775575196</v>
      </c>
      <c r="E9" s="22">
        <v>45905</v>
      </c>
      <c r="F9" s="23">
        <f t="shared" ca="1" si="2"/>
        <v>0</v>
      </c>
      <c r="G9" s="11" t="s">
        <v>34</v>
      </c>
      <c r="H9" s="4" t="s">
        <v>28</v>
      </c>
      <c r="I9" s="5" t="s">
        <v>22</v>
      </c>
      <c r="J9" s="5" t="s">
        <v>33</v>
      </c>
      <c r="K9" s="10"/>
      <c r="L9" s="10"/>
      <c r="M9" s="28">
        <f t="shared" ca="1" si="3"/>
        <v>166.03</v>
      </c>
    </row>
    <row r="10" spans="1:13" s="3" customFormat="1" ht="19.95" customHeight="1" x14ac:dyDescent="0.3">
      <c r="A10" s="5" t="s">
        <v>19</v>
      </c>
      <c r="B10" s="6" t="s">
        <v>30</v>
      </c>
      <c r="C10" s="6" t="s">
        <v>30</v>
      </c>
      <c r="D10" s="8">
        <v>93136137</v>
      </c>
      <c r="E10" s="22">
        <v>31106</v>
      </c>
      <c r="F10" s="23">
        <f t="shared" ca="1" si="2"/>
        <v>41</v>
      </c>
      <c r="G10" s="11" t="s">
        <v>29</v>
      </c>
      <c r="H10" s="4" t="s">
        <v>28</v>
      </c>
      <c r="I10" s="5" t="s">
        <v>22</v>
      </c>
      <c r="J10" s="5"/>
      <c r="K10" s="10"/>
      <c r="L10" s="10"/>
      <c r="M10" s="28">
        <f t="shared" ca="1" si="3"/>
        <v>241.97</v>
      </c>
    </row>
    <row r="11" spans="1:13" s="3" customFormat="1" ht="19.95" customHeight="1" x14ac:dyDescent="0.3">
      <c r="A11" s="5" t="s">
        <v>27</v>
      </c>
      <c r="B11" s="6" t="s">
        <v>31</v>
      </c>
      <c r="C11" s="6" t="s">
        <v>30</v>
      </c>
      <c r="D11" s="8">
        <v>12243180138</v>
      </c>
      <c r="E11" s="22">
        <v>45533</v>
      </c>
      <c r="F11" s="23">
        <f t="shared" ca="1" si="2"/>
        <v>1</v>
      </c>
      <c r="G11" s="11" t="s">
        <v>32</v>
      </c>
      <c r="H11" s="4" t="s">
        <v>28</v>
      </c>
      <c r="I11" s="5" t="s">
        <v>22</v>
      </c>
      <c r="J11" s="5" t="s">
        <v>33</v>
      </c>
      <c r="K11" s="10"/>
      <c r="L11" s="10"/>
      <c r="M11" s="28">
        <f t="shared" ca="1" si="3"/>
        <v>166.03</v>
      </c>
    </row>
    <row r="12" spans="1:13" s="3" customFormat="1" ht="19.95" customHeight="1" x14ac:dyDescent="0.3">
      <c r="A12" s="5" t="s">
        <v>19</v>
      </c>
      <c r="B12" s="6" t="s">
        <v>20</v>
      </c>
      <c r="C12" s="6" t="s">
        <v>20</v>
      </c>
      <c r="D12" s="8">
        <v>4209178101</v>
      </c>
      <c r="E12" s="22">
        <v>35990</v>
      </c>
      <c r="F12" s="23">
        <f t="shared" ca="1" si="2"/>
        <v>27</v>
      </c>
      <c r="G12" s="11" t="s">
        <v>23</v>
      </c>
      <c r="H12" s="4" t="s">
        <v>21</v>
      </c>
      <c r="I12" s="5" t="s">
        <v>22</v>
      </c>
      <c r="J12" s="5"/>
      <c r="K12" s="10"/>
      <c r="L12" s="10"/>
      <c r="M12" s="28">
        <f t="shared" ref="M12:M34" ca="1" si="4">IF(AND(F12&lt;19,H12="enfermaria"),123.91,IF(AND(F12&lt;19,H12="Apartamento"),166.03,IF(AND(F12&gt;18,F12&lt;44,H12="enfermaria"),178.8,IF(AND(F12&gt;18,F12&lt;44,H12="Apartamento"),241.97,IF(AND(F12&gt;43,F12&lt;59,H12="enfermaria"),285.82,IF(AND(F12&gt;43,F12&lt;59,H12="Apartamento"),390.05,""))))))</f>
        <v>178.8</v>
      </c>
    </row>
    <row r="13" spans="1:13" s="3" customFormat="1" ht="19.95" customHeight="1" x14ac:dyDescent="0.3">
      <c r="A13" s="5" t="s">
        <v>19</v>
      </c>
      <c r="B13" s="6" t="s">
        <v>24</v>
      </c>
      <c r="C13" s="7" t="s">
        <v>24</v>
      </c>
      <c r="D13" s="8">
        <v>3984657110</v>
      </c>
      <c r="E13" s="22">
        <v>35370</v>
      </c>
      <c r="F13" s="23">
        <f t="shared" ca="1" si="2"/>
        <v>29</v>
      </c>
      <c r="G13" s="11" t="s">
        <v>25</v>
      </c>
      <c r="H13" s="4" t="s">
        <v>21</v>
      </c>
      <c r="I13" s="5" t="s">
        <v>26</v>
      </c>
      <c r="J13" s="5"/>
      <c r="K13" s="10"/>
      <c r="L13" s="10"/>
      <c r="M13" s="28">
        <f t="shared" ca="1" si="4"/>
        <v>178.8</v>
      </c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si="4"/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1747.6299999999999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2026-05-20T12:43:25Z</dcterms:modified>
</cp:coreProperties>
</file>