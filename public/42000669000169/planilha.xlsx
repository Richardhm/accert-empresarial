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VIDAS SAÚ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M29" i="1" s="1"/>
  <c r="F30" i="1"/>
  <c r="M30" i="1" s="1"/>
  <c r="F31" i="1"/>
  <c r="M31" i="1" s="1"/>
  <c r="F32" i="1"/>
  <c r="M32" i="1" s="1"/>
  <c r="F33" i="1"/>
  <c r="M33" i="1" s="1"/>
  <c r="F34" i="1"/>
  <c r="M34" i="1" s="1"/>
  <c r="F14" i="1"/>
  <c r="M14" i="1" s="1"/>
  <c r="F15" i="1"/>
  <c r="M15" i="1" s="1"/>
  <c r="F16" i="1"/>
  <c r="M16" i="1" s="1"/>
  <c r="F17" i="1"/>
  <c r="M17" i="1" s="1"/>
  <c r="F18" i="1"/>
  <c r="M18" i="1" s="1"/>
  <c r="F19" i="1"/>
  <c r="M19" i="1" s="1"/>
  <c r="F20" i="1"/>
  <c r="M20" i="1" s="1"/>
  <c r="F21" i="1"/>
  <c r="M21" i="1" s="1"/>
  <c r="F22" i="1"/>
  <c r="M22" i="1" s="1"/>
  <c r="F23" i="1"/>
  <c r="M23" i="1" s="1"/>
  <c r="F24" i="1"/>
  <c r="M24" i="1" s="1"/>
  <c r="F25" i="1"/>
  <c r="M25" i="1" s="1"/>
  <c r="F26" i="1"/>
  <c r="M26" i="1" s="1"/>
  <c r="F27" i="1"/>
  <c r="M27" i="1" s="1"/>
  <c r="F28" i="1"/>
  <c r="M28" i="1" s="1"/>
  <c r="M2" i="1" l="1"/>
  <c r="F5" i="1" l="1"/>
  <c r="M5" i="1" s="1"/>
  <c r="F7" i="1"/>
  <c r="M7" i="1" s="1"/>
  <c r="F6" i="1"/>
  <c r="M6" i="1" s="1"/>
  <c r="E26" i="1"/>
  <c r="M35" i="1" l="1"/>
  <c r="E33" i="1"/>
  <c r="E34" i="1"/>
  <c r="E31" i="1"/>
  <c r="E27" i="1"/>
  <c r="E32" i="1"/>
</calcChain>
</file>

<file path=xl/sharedStrings.xml><?xml version="1.0" encoding="utf-8"?>
<sst xmlns="http://schemas.openxmlformats.org/spreadsheetml/2006/main" count="41" uniqueCount="32">
  <si>
    <t>Nome Completo</t>
  </si>
  <si>
    <t>Nome da Mãe</t>
  </si>
  <si>
    <t>CPF</t>
  </si>
  <si>
    <t>Data de Nascimento</t>
  </si>
  <si>
    <t>Sexo</t>
  </si>
  <si>
    <t>Grau do Parentesco</t>
  </si>
  <si>
    <t>Telefone</t>
  </si>
  <si>
    <t>Nome Titular</t>
  </si>
  <si>
    <t>Data do Casamento</t>
  </si>
  <si>
    <t>Idade</t>
  </si>
  <si>
    <t>EMPRESA:</t>
  </si>
  <si>
    <t>CNPJ:</t>
  </si>
  <si>
    <t>OBS:</t>
  </si>
  <si>
    <t>Titular ou Dependente</t>
  </si>
  <si>
    <t>SAÚDE/ Acomodação</t>
  </si>
  <si>
    <t>PLANILHA SIAEG</t>
  </si>
  <si>
    <t>Valor</t>
  </si>
  <si>
    <t>Contato:</t>
  </si>
  <si>
    <t>Telefone:</t>
  </si>
  <si>
    <t>Titular</t>
  </si>
  <si>
    <t>Masculino</t>
  </si>
  <si>
    <t>Feminino</t>
  </si>
  <si>
    <t>Dependente</t>
  </si>
  <si>
    <t>Apartamento</t>
  </si>
  <si>
    <t>TATIANE NATALIA MELO DA SILVA</t>
  </si>
  <si>
    <t xml:space="preserve">MARIA HELOISA MELO DE ALMEIDA </t>
  </si>
  <si>
    <t xml:space="preserve">BENJAMIN LOURENZO MELO DE ALMEIDA </t>
  </si>
  <si>
    <t xml:space="preserve">ERICK DE MEDEIROS </t>
  </si>
  <si>
    <t xml:space="preserve">ANGERICA MARIA DE MEDEIROS </t>
  </si>
  <si>
    <t>MEDEIROS &amp; NETO ADVOGADOS ASSOCIADOS</t>
  </si>
  <si>
    <t>ENTEADO</t>
  </si>
  <si>
    <t>42.000.669-0001-69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</si>
</sst>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000&quot;.&quot;000&quot;.&quot;000&quot;-&quot;00"/>
  </numFmts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center" vertical="center" wrapText="1"/>
    </xf>
    <xf numFmtId="14" fontId="2" fillId="2" borderId="16" xfId="0" applyNumberFormat="1" applyFont="1" applyFill="1" applyBorder="1" applyAlignment="1">
      <alignment horizontal="center" vertical="center" wrapText="1"/>
    </xf>
    <xf numFmtId="14" fontId="4" fillId="0" borderId="2" xfId="1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44" fontId="4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44" fontId="6" fillId="0" borderId="2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1" fillId="3" borderId="18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&quot;.&quot;000&quot;.&quot;000&quot;-&quot;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&quot;.&quot;000&quot;.&quot;000&quot;-&quot;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952501</xdr:colOff>
      <xdr:row>0</xdr:row>
      <xdr:rowOff>21167</xdr:rowOff>
    </xdr:from>
    <xdr:to>
      <xdr:col>11</xdr:col>
      <xdr:colOff>987326</xdr:colOff>
      <xdr:row>0</xdr:row>
      <xdr:rowOff>552128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3334" y="21167"/>
          <a:ext cx="1156660" cy="5309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4:M35" totalsRowCount="1" headerRowDxfId="28" headerRowBorderDxfId="27" tableBorderDxfId="26">
  <tableColumns count="13">
    <tableColumn id="1" name="Titular ou Dependente" dataDxfId="25" totalsRowDxfId="12"/>
    <tableColumn id="2" name="Nome Completo" dataDxfId="24" totalsRowDxfId="11"/>
    <tableColumn id="3" name="Nome Titular" dataDxfId="23" totalsRowDxfId="10"/>
    <tableColumn id="4" name="CPF" dataDxfId="22" totalsRowDxfId="9"/>
    <tableColumn id="5" name="Data de Nascimento" dataDxfId="21" totalsRowDxfId="8" dataCellStyle="Moeda"/>
    <tableColumn id="6" name="Idade" dataDxfId="20" totalsRowDxfId="7">
      <calculatedColumnFormula>IF(D5="","",DATEDIF(E5,$M$2,"y"))</calculatedColumnFormula>
    </tableColumn>
    <tableColumn id="7" name="Nome da Mãe" dataDxfId="19" totalsRowDxfId="6"/>
    <tableColumn id="8" name="SAÚDE/ Acomodação" dataDxfId="18" totalsRowDxfId="5"/>
    <tableColumn id="9" name="Sexo" dataDxfId="17" totalsRowDxfId="4"/>
    <tableColumn id="11" name="Grau do Parentesco" dataDxfId="16" totalsRowDxfId="3"/>
    <tableColumn id="12" name="Data do Casamento" dataDxfId="15" totalsRowDxfId="2"/>
    <tableColumn id="14" name="Telefone" dataDxfId="14" totalsRowDxfId="1"/>
    <tableColumn id="13" name="Valor" totalsRowFunction="sum" dataDxfId="13" totalsRowDxfId="0">
      <calculatedColumnFormula>IF(AND(F5&lt;19,H5="enfermaria"),123.91,IF(AND(F5&lt;19,H5="Apartamento"),166.03,IF(AND(F5&gt;18,F5&lt;44,H5="enfermaria"),178.8,IF(AND(F5&gt;18,F5&lt;44,H5="Apartamento"),241.97,IF(AND(F5&gt;43,F5&lt;59,H5="enfermaria"),285.82,IF(AND(F5&gt;43,F5&lt;59,H5="Apartamento"),390.05,""))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showGridLines="0" tabSelected="1" zoomScale="90" zoomScaleNormal="90" workbookViewId="0">
      <selection activeCell="G12" sqref="G12"/>
    </sheetView>
  </sheetViews>
  <sheetFormatPr defaultColWidth="9.109375" defaultRowHeight="14.4" x14ac:dyDescent="0.3"/>
  <cols>
    <col min="1" max="1" width="17.88671875" style="1" bestFit="1" customWidth="1"/>
    <col min="2" max="2" width="33.21875" bestFit="1" customWidth="1"/>
    <col min="3" max="3" width="27.33203125" bestFit="1" customWidth="1"/>
    <col min="4" max="6" width="15.109375" customWidth="1"/>
    <col min="7" max="7" width="32.44140625" style="12" bestFit="1" customWidth="1"/>
    <col min="8" max="8" width="14" style="12" customWidth="1"/>
    <col min="9" max="9" width="15.109375" style="2" customWidth="1"/>
    <col min="10" max="12" width="16.88671875" style="2" customWidth="1"/>
    <col min="13" max="13" width="14.109375" style="2" customWidth="1"/>
  </cols>
  <sheetData>
    <row r="1" spans="1:13" ht="45" customHeight="1" thickBot="1" x14ac:dyDescent="0.35">
      <c r="A1" s="45" t="s">
        <v>15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 spans="1:13" x14ac:dyDescent="0.3">
      <c r="A2" s="13" t="s">
        <v>10</v>
      </c>
      <c r="B2" s="41" t="s">
        <v>29</v>
      </c>
      <c r="C2" s="42"/>
      <c r="D2" s="14" t="s">
        <v>17</v>
      </c>
      <c r="E2" s="14"/>
      <c r="F2" s="39" t="s">
        <v>12</v>
      </c>
      <c r="G2" s="24"/>
      <c r="H2" s="25"/>
      <c r="I2" s="25"/>
      <c r="J2" s="25"/>
      <c r="K2" s="25"/>
      <c r="L2" s="25"/>
      <c r="M2" s="48">
        <f ca="1">TODAY()</f>
        <v>46164</v>
      </c>
    </row>
    <row r="3" spans="1:13" ht="15" thickBot="1" x14ac:dyDescent="0.35">
      <c r="A3" s="15" t="s">
        <v>11</v>
      </c>
      <c r="B3" s="43" t="s">
        <v>31</v>
      </c>
      <c r="C3" s="44"/>
      <c r="D3" s="16" t="s">
        <v>18</v>
      </c>
      <c r="E3" s="16"/>
      <c r="F3" s="40"/>
      <c r="G3" s="26"/>
      <c r="H3" s="27"/>
      <c r="I3" s="27"/>
      <c r="J3" s="27"/>
      <c r="K3" s="27"/>
      <c r="L3" s="27"/>
      <c r="M3" s="49"/>
    </row>
    <row r="4" spans="1:13" ht="49.65" customHeight="1" x14ac:dyDescent="0.3">
      <c r="A4" s="17" t="s">
        <v>13</v>
      </c>
      <c r="B4" s="17" t="s">
        <v>0</v>
      </c>
      <c r="C4" s="17" t="s">
        <v>7</v>
      </c>
      <c r="D4" s="17" t="s">
        <v>2</v>
      </c>
      <c r="E4" s="18" t="s">
        <v>3</v>
      </c>
      <c r="F4" s="18" t="s">
        <v>9</v>
      </c>
      <c r="G4" s="19" t="s">
        <v>1</v>
      </c>
      <c r="H4" s="20" t="s">
        <v>14</v>
      </c>
      <c r="I4" s="20" t="s">
        <v>4</v>
      </c>
      <c r="J4" s="20" t="s">
        <v>5</v>
      </c>
      <c r="K4" s="21" t="s">
        <v>8</v>
      </c>
      <c r="L4" s="21" t="s">
        <v>6</v>
      </c>
      <c r="M4" s="21" t="s">
        <v>16</v>
      </c>
    </row>
    <row r="5" spans="1:13" s="3" customFormat="1" ht="19.95" customHeight="1" x14ac:dyDescent="0.3">
      <c r="A5" s="5" t="s">
        <v>19</v>
      </c>
      <c r="B5" s="6" t="s">
        <v>27</v>
      </c>
      <c r="C5" s="6" t="s">
        <v>27</v>
      </c>
      <c r="D5" s="8">
        <v>99454483153</v>
      </c>
      <c r="E5" s="22">
        <v>29569</v>
      </c>
      <c r="F5" s="23">
        <f t="shared" ref="F5" ca="1" si="0">IF(D5="","",DATEDIF(E5,$M$2,"y"))</f>
        <v>45</v>
      </c>
      <c r="G5" s="6" t="s">
        <v>28</v>
      </c>
      <c r="H5" s="4" t="s">
        <v>23</v>
      </c>
      <c r="I5" s="5" t="s">
        <v>20</v>
      </c>
      <c r="J5" s="5"/>
      <c r="K5" s="10"/>
      <c r="L5" s="10"/>
      <c r="M5" s="28">
        <f t="shared" ref="M5" ca="1" si="1">IF(AND(F5&lt;19,H5="enfermaria"),123.91,IF(AND(F5&lt;19,H5="Apartamento"),166.03,IF(AND(F5&gt;18,F5&lt;44,H5="enfermaria"),178.8,IF(AND(F5&gt;18,F5&lt;44,H5="Apartamento"),241.97,IF(AND(F5&gt;43,F5&lt;59,H5="enfermaria"),285.82,IF(AND(F5&gt;43,F5&lt;59,H5="Apartamento"),390.05,""))))))</f>
        <v>390.05</v>
      </c>
    </row>
    <row r="6" spans="1:13" s="3" customFormat="1" ht="19.95" customHeight="1" x14ac:dyDescent="0.3">
      <c r="A6" s="5" t="s">
        <v>22</v>
      </c>
      <c r="B6" s="6" t="s">
        <v>25</v>
      </c>
      <c r="C6" s="6" t="s">
        <v>27</v>
      </c>
      <c r="D6" s="8">
        <v>6305878250</v>
      </c>
      <c r="E6" s="22">
        <v>43646</v>
      </c>
      <c r="F6" s="23">
        <f t="shared" ref="F6:F34" ca="1" si="2">IF(D6="","",DATEDIF(E6,$M$2,"y"))</f>
        <v>6</v>
      </c>
      <c r="G6" s="11" t="s">
        <v>24</v>
      </c>
      <c r="H6" s="4" t="s">
        <v>23</v>
      </c>
      <c r="I6" s="5" t="s">
        <v>21</v>
      </c>
      <c r="J6" s="5" t="s">
        <v>30</v>
      </c>
      <c r="K6" s="10"/>
      <c r="L6" s="10"/>
      <c r="M6" s="28">
        <f t="shared" ref="M6:M11" ca="1" si="3">IF(AND(F6&lt;19,H6="enfermaria"),123.91,IF(AND(F6&lt;19,H6="Apartamento"),166.03,IF(AND(F6&gt;18,F6&lt;44,H6="enfermaria"),178.8,IF(AND(F6&gt;18,F6&lt;44,H6="Apartamento"),241.97,IF(AND(F6&gt;43,F6&lt;59,H6="enfermaria"),285.82,IF(AND(F6&gt;43,F6&lt;59,H6="Apartamento"),390.05,""))))))</f>
        <v>166.03</v>
      </c>
    </row>
    <row r="7" spans="1:13" s="3" customFormat="1" ht="19.95" customHeight="1" x14ac:dyDescent="0.3">
      <c r="A7" s="5" t="s">
        <v>22</v>
      </c>
      <c r="B7" s="6" t="s">
        <v>26</v>
      </c>
      <c r="C7" s="6" t="s">
        <v>27</v>
      </c>
      <c r="D7" s="8">
        <v>71522615121</v>
      </c>
      <c r="E7" s="22">
        <v>40199</v>
      </c>
      <c r="F7" s="23">
        <f t="shared" ca="1" si="2"/>
        <v>16</v>
      </c>
      <c r="G7" s="11" t="s">
        <v>24</v>
      </c>
      <c r="H7" s="4" t="s">
        <v>23</v>
      </c>
      <c r="I7" s="5" t="s">
        <v>20</v>
      </c>
      <c r="J7" s="5" t="s">
        <v>30</v>
      </c>
      <c r="K7" s="10"/>
      <c r="L7" s="10"/>
      <c r="M7" s="28">
        <f t="shared" ca="1" si="3"/>
        <v>166.03</v>
      </c>
    </row>
    <row r="8" spans="1:13" s="3" customFormat="1" ht="19.95" customHeight="1" x14ac:dyDescent="0.3">
      <c r="A8" s="5"/>
      <c r="B8" s="6"/>
      <c r="C8" s="6"/>
      <c r="D8" s="8"/>
      <c r="E8" s="22"/>
      <c r="F8" s="23"/>
      <c r="G8" s="11"/>
      <c r="H8" s="4"/>
      <c r="I8" s="5"/>
      <c r="J8" s="5"/>
      <c r="K8" s="10"/>
      <c r="L8" s="10"/>
      <c r="M8" s="28"/>
    </row>
    <row r="9" spans="1:13" s="3" customFormat="1" ht="19.95" customHeight="1" x14ac:dyDescent="0.3">
      <c r="A9" s="5"/>
      <c r="B9" s="6"/>
      <c r="C9" s="6"/>
      <c r="D9" s="8"/>
      <c r="E9" s="22"/>
      <c r="F9" s="23"/>
      <c r="G9" s="11"/>
      <c r="H9" s="4"/>
      <c r="I9" s="5"/>
      <c r="J9" s="5"/>
      <c r="K9" s="10"/>
      <c r="L9" s="10"/>
      <c r="M9" s="28"/>
    </row>
    <row r="10" spans="1:13" s="3" customFormat="1" ht="19.95" customHeight="1" x14ac:dyDescent="0.3">
      <c r="A10" s="5"/>
      <c r="B10" s="6"/>
      <c r="C10" s="6"/>
      <c r="D10" s="8"/>
      <c r="E10" s="22"/>
      <c r="F10" s="23"/>
      <c r="G10" s="11"/>
      <c r="H10" s="4"/>
      <c r="I10" s="5"/>
      <c r="J10" s="5"/>
      <c r="K10" s="10"/>
      <c r="L10" s="10"/>
      <c r="M10" s="28"/>
    </row>
    <row r="11" spans="1:13" s="3" customFormat="1" ht="19.95" customHeight="1" x14ac:dyDescent="0.3">
      <c r="A11" s="5"/>
      <c r="B11" s="6"/>
      <c r="C11" s="6"/>
      <c r="D11" s="8"/>
      <c r="E11" s="22"/>
      <c r="F11" s="23"/>
      <c r="G11" s="11"/>
      <c r="H11" s="4"/>
      <c r="I11" s="5"/>
      <c r="J11" s="5"/>
      <c r="K11" s="10"/>
      <c r="L11" s="10"/>
      <c r="M11" s="28"/>
    </row>
    <row r="12" spans="1:13" s="3" customFormat="1" ht="19.95" customHeight="1" x14ac:dyDescent="0.3">
      <c r="A12" s="5"/>
      <c r="B12" s="6"/>
      <c r="C12" s="6"/>
      <c r="D12" s="8"/>
      <c r="E12" s="22"/>
      <c r="F12" s="23"/>
      <c r="G12" s="11"/>
      <c r="H12" s="4"/>
      <c r="I12" s="5"/>
      <c r="J12" s="5"/>
      <c r="K12" s="10"/>
      <c r="L12" s="10"/>
      <c r="M12" s="28"/>
    </row>
    <row r="13" spans="1:13" s="3" customFormat="1" ht="19.95" customHeight="1" x14ac:dyDescent="0.3">
      <c r="A13" s="5"/>
      <c r="B13" s="6"/>
      <c r="C13" s="7"/>
      <c r="D13" s="8"/>
      <c r="E13" s="22"/>
      <c r="F13" s="23"/>
      <c r="G13" s="11"/>
      <c r="H13" s="4"/>
      <c r="I13" s="5"/>
      <c r="J13" s="5"/>
      <c r="K13" s="10"/>
      <c r="L13" s="10"/>
      <c r="M13" s="28"/>
    </row>
    <row r="14" spans="1:13" s="3" customFormat="1" ht="19.95" customHeight="1" x14ac:dyDescent="0.3">
      <c r="A14" s="5"/>
      <c r="B14" s="6"/>
      <c r="C14" s="7"/>
      <c r="D14" s="8"/>
      <c r="E14" s="9"/>
      <c r="F14" s="23" t="str">
        <f t="shared" si="2"/>
        <v/>
      </c>
      <c r="G14" s="11"/>
      <c r="H14" s="4"/>
      <c r="I14" s="5"/>
      <c r="J14" s="5"/>
      <c r="K14" s="10"/>
      <c r="L14" s="10"/>
      <c r="M14" s="28" t="str">
        <f t="shared" ref="M12:M34" si="4">IF(AND(F14&lt;19,H14="enfermaria"),123.91,IF(AND(F14&lt;19,H14="Apartamento"),166.03,IF(AND(F14&gt;18,F14&lt;44,H14="enfermaria"),178.8,IF(AND(F14&gt;18,F14&lt;44,H14="Apartamento"),241.97,IF(AND(F14&gt;43,F14&lt;59,H14="enfermaria"),285.82,IF(AND(F14&gt;43,F14&lt;59,H14="Apartamento"),390.05,""))))))</f>
        <v/>
      </c>
    </row>
    <row r="15" spans="1:13" s="3" customFormat="1" ht="19.95" customHeight="1" x14ac:dyDescent="0.3">
      <c r="A15" s="5"/>
      <c r="B15" s="6"/>
      <c r="C15" s="7"/>
      <c r="D15" s="8"/>
      <c r="E15" s="9"/>
      <c r="F15" s="23" t="str">
        <f t="shared" si="2"/>
        <v/>
      </c>
      <c r="G15" s="11"/>
      <c r="H15" s="4"/>
      <c r="I15" s="5"/>
      <c r="J15" s="5"/>
      <c r="K15" s="10"/>
      <c r="L15" s="10"/>
      <c r="M15" s="28" t="str">
        <f t="shared" si="4"/>
        <v/>
      </c>
    </row>
    <row r="16" spans="1:13" s="3" customFormat="1" ht="19.95" customHeight="1" x14ac:dyDescent="0.3">
      <c r="A16" s="5"/>
      <c r="B16" s="6"/>
      <c r="C16" s="7"/>
      <c r="D16" s="8"/>
      <c r="E16" s="9"/>
      <c r="F16" s="23" t="str">
        <f t="shared" si="2"/>
        <v/>
      </c>
      <c r="G16" s="11"/>
      <c r="H16" s="4"/>
      <c r="I16" s="5"/>
      <c r="J16" s="5"/>
      <c r="K16" s="10"/>
      <c r="L16" s="10"/>
      <c r="M16" s="28" t="str">
        <f t="shared" si="4"/>
        <v/>
      </c>
    </row>
    <row r="17" spans="1:13" s="3" customFormat="1" ht="19.95" customHeight="1" x14ac:dyDescent="0.3">
      <c r="A17" s="5"/>
      <c r="B17" s="6"/>
      <c r="C17" s="7"/>
      <c r="D17" s="8"/>
      <c r="E17" s="9"/>
      <c r="F17" s="23" t="str">
        <f t="shared" si="2"/>
        <v/>
      </c>
      <c r="G17" s="11"/>
      <c r="H17" s="4"/>
      <c r="I17" s="5"/>
      <c r="J17" s="5"/>
      <c r="K17" s="10"/>
      <c r="L17" s="10"/>
      <c r="M17" s="28" t="str">
        <f t="shared" si="4"/>
        <v/>
      </c>
    </row>
    <row r="18" spans="1:13" s="3" customFormat="1" ht="19.95" customHeight="1" x14ac:dyDescent="0.3">
      <c r="A18" s="5"/>
      <c r="B18" s="6"/>
      <c r="C18" s="7"/>
      <c r="D18" s="8"/>
      <c r="E18" s="9"/>
      <c r="F18" s="23" t="str">
        <f t="shared" si="2"/>
        <v/>
      </c>
      <c r="G18" s="11"/>
      <c r="H18" s="4"/>
      <c r="I18" s="5"/>
      <c r="J18" s="5"/>
      <c r="K18" s="10"/>
      <c r="L18" s="10"/>
      <c r="M18" s="28" t="str">
        <f t="shared" si="4"/>
        <v/>
      </c>
    </row>
    <row r="19" spans="1:13" s="3" customFormat="1" ht="19.95" customHeight="1" x14ac:dyDescent="0.3">
      <c r="A19" s="5"/>
      <c r="B19" s="6"/>
      <c r="C19" s="7"/>
      <c r="D19" s="8"/>
      <c r="E19" s="9"/>
      <c r="F19" s="23" t="str">
        <f t="shared" si="2"/>
        <v/>
      </c>
      <c r="G19" s="11"/>
      <c r="H19" s="4"/>
      <c r="I19" s="5"/>
      <c r="J19" s="5"/>
      <c r="K19" s="10"/>
      <c r="L19" s="10"/>
      <c r="M19" s="28" t="str">
        <f t="shared" si="4"/>
        <v/>
      </c>
    </row>
    <row r="20" spans="1:13" s="3" customFormat="1" ht="19.95" customHeight="1" x14ac:dyDescent="0.3">
      <c r="A20" s="5"/>
      <c r="B20" s="6"/>
      <c r="C20" s="7"/>
      <c r="D20" s="8"/>
      <c r="E20" s="9"/>
      <c r="F20" s="23" t="str">
        <f t="shared" si="2"/>
        <v/>
      </c>
      <c r="G20" s="11"/>
      <c r="H20" s="4"/>
      <c r="I20" s="5"/>
      <c r="J20" s="5"/>
      <c r="K20" s="10"/>
      <c r="L20" s="10"/>
      <c r="M20" s="28" t="str">
        <f t="shared" si="4"/>
        <v/>
      </c>
    </row>
    <row r="21" spans="1:13" s="3" customFormat="1" ht="19.95" customHeight="1" x14ac:dyDescent="0.3">
      <c r="A21" s="5"/>
      <c r="B21" s="6"/>
      <c r="C21" s="7"/>
      <c r="D21" s="8"/>
      <c r="E21" s="9"/>
      <c r="F21" s="23" t="str">
        <f t="shared" si="2"/>
        <v/>
      </c>
      <c r="G21" s="11"/>
      <c r="H21" s="4"/>
      <c r="I21" s="5"/>
      <c r="J21" s="5"/>
      <c r="K21" s="10"/>
      <c r="L21" s="10"/>
      <c r="M21" s="28" t="str">
        <f t="shared" si="4"/>
        <v/>
      </c>
    </row>
    <row r="22" spans="1:13" s="3" customFormat="1" ht="19.95" customHeight="1" x14ac:dyDescent="0.3">
      <c r="A22" s="5"/>
      <c r="B22" s="6"/>
      <c r="C22" s="7"/>
      <c r="D22" s="8"/>
      <c r="E22" s="9"/>
      <c r="F22" s="23" t="str">
        <f t="shared" si="2"/>
        <v/>
      </c>
      <c r="G22" s="11"/>
      <c r="H22" s="4"/>
      <c r="I22" s="5"/>
      <c r="J22" s="5"/>
      <c r="K22" s="10"/>
      <c r="L22" s="10"/>
      <c r="M22" s="28" t="str">
        <f t="shared" si="4"/>
        <v/>
      </c>
    </row>
    <row r="23" spans="1:13" s="3" customFormat="1" ht="19.95" customHeight="1" x14ac:dyDescent="0.3">
      <c r="A23" s="5"/>
      <c r="B23" s="6"/>
      <c r="C23" s="7"/>
      <c r="D23" s="8"/>
      <c r="E23" s="9"/>
      <c r="F23" s="23" t="str">
        <f t="shared" si="2"/>
        <v/>
      </c>
      <c r="G23" s="11"/>
      <c r="H23" s="4"/>
      <c r="I23" s="5"/>
      <c r="J23" s="5"/>
      <c r="K23" s="10"/>
      <c r="L23" s="10"/>
      <c r="M23" s="28" t="str">
        <f t="shared" si="4"/>
        <v/>
      </c>
    </row>
    <row r="24" spans="1:13" s="3" customFormat="1" ht="19.95" customHeight="1" x14ac:dyDescent="0.3">
      <c r="A24" s="5"/>
      <c r="B24" s="6"/>
      <c r="C24" s="7"/>
      <c r="D24" s="8"/>
      <c r="E24" s="9"/>
      <c r="F24" s="23" t="str">
        <f t="shared" si="2"/>
        <v/>
      </c>
      <c r="G24" s="11"/>
      <c r="H24" s="4"/>
      <c r="I24" s="5"/>
      <c r="J24" s="5"/>
      <c r="K24" s="10"/>
      <c r="L24" s="10"/>
      <c r="M24" s="28" t="str">
        <f t="shared" si="4"/>
        <v/>
      </c>
    </row>
    <row r="25" spans="1:13" s="3" customFormat="1" ht="19.95" customHeight="1" x14ac:dyDescent="0.3">
      <c r="A25" s="5"/>
      <c r="B25" s="6"/>
      <c r="C25" s="7"/>
      <c r="D25" s="8"/>
      <c r="E25" s="9"/>
      <c r="F25" s="23" t="str">
        <f t="shared" si="2"/>
        <v/>
      </c>
      <c r="G25" s="11"/>
      <c r="H25" s="4"/>
      <c r="I25" s="5"/>
      <c r="J25" s="5"/>
      <c r="K25" s="10"/>
      <c r="L25" s="10"/>
      <c r="M25" s="28" t="str">
        <f t="shared" si="4"/>
        <v/>
      </c>
    </row>
    <row r="26" spans="1:13" s="3" customFormat="1" ht="19.95" customHeight="1" x14ac:dyDescent="0.3">
      <c r="A26" s="5"/>
      <c r="B26" s="6"/>
      <c r="C26" s="7"/>
      <c r="D26" s="8"/>
      <c r="E26" s="9" t="str">
        <f>IF(D26="","",DATEDIF(F26,#REF!,"y"))</f>
        <v/>
      </c>
      <c r="F26" s="23" t="str">
        <f t="shared" si="2"/>
        <v/>
      </c>
      <c r="G26" s="11"/>
      <c r="H26" s="4"/>
      <c r="I26" s="5"/>
      <c r="J26" s="5"/>
      <c r="K26" s="10"/>
      <c r="L26" s="10"/>
      <c r="M26" s="28" t="str">
        <f t="shared" si="4"/>
        <v/>
      </c>
    </row>
    <row r="27" spans="1:13" s="3" customFormat="1" ht="19.95" customHeight="1" x14ac:dyDescent="0.3">
      <c r="A27" s="5"/>
      <c r="B27" s="6"/>
      <c r="C27" s="7"/>
      <c r="D27" s="8"/>
      <c r="E27" s="9" t="str">
        <f>IF(D27="","",DATEDIF(F27,#REF!,"y"))</f>
        <v/>
      </c>
      <c r="F27" s="23" t="str">
        <f t="shared" si="2"/>
        <v/>
      </c>
      <c r="G27" s="11"/>
      <c r="H27" s="4"/>
      <c r="I27" s="5"/>
      <c r="J27" s="5"/>
      <c r="K27" s="10"/>
      <c r="L27" s="10"/>
      <c r="M27" s="28" t="str">
        <f t="shared" si="4"/>
        <v/>
      </c>
    </row>
    <row r="28" spans="1:13" s="3" customFormat="1" ht="19.95" customHeight="1" x14ac:dyDescent="0.3">
      <c r="A28" s="5"/>
      <c r="B28" s="6"/>
      <c r="C28" s="7"/>
      <c r="D28" s="8"/>
      <c r="E28" s="9"/>
      <c r="F28" s="23" t="str">
        <f t="shared" si="2"/>
        <v/>
      </c>
      <c r="G28" s="11"/>
      <c r="H28" s="4"/>
      <c r="I28" s="5"/>
      <c r="J28" s="5"/>
      <c r="K28" s="10"/>
      <c r="L28" s="10"/>
      <c r="M28" s="28" t="str">
        <f t="shared" si="4"/>
        <v/>
      </c>
    </row>
    <row r="29" spans="1:13" s="3" customFormat="1" ht="19.95" customHeight="1" x14ac:dyDescent="0.3">
      <c r="A29" s="5"/>
      <c r="B29" s="6"/>
      <c r="C29" s="7"/>
      <c r="D29" s="8"/>
      <c r="E29" s="9"/>
      <c r="F29" s="23" t="str">
        <f>IF(D29="","",DATEDIF(E29,$M$2,"y"))</f>
        <v/>
      </c>
      <c r="G29" s="11"/>
      <c r="H29" s="4"/>
      <c r="I29" s="5"/>
      <c r="J29" s="5"/>
      <c r="K29" s="10"/>
      <c r="L29" s="10"/>
      <c r="M29" s="28" t="str">
        <f t="shared" si="4"/>
        <v/>
      </c>
    </row>
    <row r="30" spans="1:13" s="3" customFormat="1" ht="19.95" customHeight="1" x14ac:dyDescent="0.3">
      <c r="A30" s="5"/>
      <c r="B30" s="6"/>
      <c r="C30" s="7"/>
      <c r="D30" s="8"/>
      <c r="E30" s="9"/>
      <c r="F30" s="23" t="str">
        <f t="shared" si="2"/>
        <v/>
      </c>
      <c r="G30" s="11"/>
      <c r="H30" s="4"/>
      <c r="I30" s="5"/>
      <c r="J30" s="5"/>
      <c r="K30" s="10"/>
      <c r="L30" s="10"/>
      <c r="M30" s="28" t="str">
        <f t="shared" si="4"/>
        <v/>
      </c>
    </row>
    <row r="31" spans="1:13" s="3" customFormat="1" ht="19.95" customHeight="1" x14ac:dyDescent="0.3">
      <c r="A31" s="5"/>
      <c r="B31" s="6"/>
      <c r="C31" s="7"/>
      <c r="D31" s="8"/>
      <c r="E31" s="9" t="str">
        <f>IF(D31="","",DATEDIF(F31,#REF!,"y"))</f>
        <v/>
      </c>
      <c r="F31" s="23" t="str">
        <f t="shared" si="2"/>
        <v/>
      </c>
      <c r="G31" s="11"/>
      <c r="H31" s="4"/>
      <c r="I31" s="5"/>
      <c r="J31" s="5"/>
      <c r="K31" s="10"/>
      <c r="L31" s="10"/>
      <c r="M31" s="28" t="str">
        <f t="shared" si="4"/>
        <v/>
      </c>
    </row>
    <row r="32" spans="1:13" s="3" customFormat="1" ht="19.95" customHeight="1" x14ac:dyDescent="0.3">
      <c r="A32" s="5"/>
      <c r="B32" s="6"/>
      <c r="C32" s="7"/>
      <c r="D32" s="8"/>
      <c r="E32" s="9" t="str">
        <f>IF(D32="","",DATEDIF(F32,#REF!,"y"))</f>
        <v/>
      </c>
      <c r="F32" s="23" t="str">
        <f t="shared" si="2"/>
        <v/>
      </c>
      <c r="G32" s="11"/>
      <c r="H32" s="4"/>
      <c r="I32" s="5"/>
      <c r="J32" s="5"/>
      <c r="K32" s="10"/>
      <c r="L32" s="10"/>
      <c r="M32" s="28" t="str">
        <f t="shared" si="4"/>
        <v/>
      </c>
    </row>
    <row r="33" spans="1:13" s="3" customFormat="1" ht="19.95" customHeight="1" x14ac:dyDescent="0.3">
      <c r="A33" s="5"/>
      <c r="B33" s="6"/>
      <c r="C33" s="7"/>
      <c r="D33" s="8"/>
      <c r="E33" s="9" t="str">
        <f>IF(D33="","",DATEDIF(F33,#REF!,"y"))</f>
        <v/>
      </c>
      <c r="F33" s="23" t="str">
        <f t="shared" si="2"/>
        <v/>
      </c>
      <c r="G33" s="11"/>
      <c r="H33" s="4"/>
      <c r="I33" s="5"/>
      <c r="J33" s="5"/>
      <c r="K33" s="10"/>
      <c r="L33" s="10"/>
      <c r="M33" s="28" t="str">
        <f t="shared" si="4"/>
        <v/>
      </c>
    </row>
    <row r="34" spans="1:13" s="3" customFormat="1" ht="19.95" customHeight="1" x14ac:dyDescent="0.3">
      <c r="A34" s="5"/>
      <c r="B34" s="6"/>
      <c r="C34" s="7"/>
      <c r="D34" s="8"/>
      <c r="E34" s="9" t="str">
        <f>IF(D34="","",DATEDIF(F34,#REF!,"y"))</f>
        <v/>
      </c>
      <c r="F34" s="23" t="str">
        <f t="shared" si="2"/>
        <v/>
      </c>
      <c r="G34" s="11"/>
      <c r="H34" s="4"/>
      <c r="I34" s="5"/>
      <c r="J34" s="5"/>
      <c r="K34" s="10"/>
      <c r="L34" s="10"/>
      <c r="M34" s="28" t="str">
        <f t="shared" si="4"/>
        <v/>
      </c>
    </row>
    <row r="35" spans="1:13" x14ac:dyDescent="0.3">
      <c r="A35" s="29"/>
      <c r="B35" s="30"/>
      <c r="C35" s="31"/>
      <c r="D35" s="32"/>
      <c r="E35" s="38"/>
      <c r="F35" s="33"/>
      <c r="G35" s="34"/>
      <c r="H35" s="29"/>
      <c r="I35" s="33"/>
      <c r="J35" s="33"/>
      <c r="K35" s="35"/>
      <c r="L35" s="36"/>
      <c r="M35" s="37">
        <f ca="1">SUBTOTAL(109,Tabela1[Valor])</f>
        <v>722.11</v>
      </c>
    </row>
  </sheetData>
  <mergeCells count="5">
    <mergeCell ref="F2:F3"/>
    <mergeCell ref="B2:C2"/>
    <mergeCell ref="B3:C3"/>
    <mergeCell ref="A1:M1"/>
    <mergeCell ref="M2:M3"/>
  </mergeCells>
  <dataValidations count="3">
    <dataValidation type="list" allowBlank="1" showInputMessage="1" showErrorMessage="1" sqref="A36:A1684 A5:A34">
      <formula1>"Titular, Dependente"</formula1>
    </dataValidation>
    <dataValidation type="list" allowBlank="1" showInputMessage="1" showErrorMessage="1" sqref="I5:I34">
      <formula1>"Feminino, Masculino"</formula1>
    </dataValidation>
    <dataValidation type="list" allowBlank="1" showInputMessage="1" showErrorMessage="1" sqref="H5:H34">
      <formula1>"Apartamento, Enfermaria, NÃO"</formula1>
    </dataValidation>
  </dataValidations>
  <pageMargins left="0.19685039370078741" right="0.19685039370078741" top="0.39370078740157483" bottom="0.39370078740157483" header="0.31496062992125984" footer="0.31496062992125984"/>
  <pageSetup paperSize="9" scale="59" fitToHeight="0" orientation="landscape" r:id="rId1"/>
  <colBreaks count="1" manualBreakCount="1">
    <brk id="13" max="1048575" man="1"/>
  </col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VIDAS SAÚDE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</dc:creator>
  <cp:lastModifiedBy>Richard Figueiredo</cp:lastModifiedBy>
  <cp:lastPrinted>2025-06-20T17:08:31Z</cp:lastPrinted>
  <dcterms:created xsi:type="dcterms:W3CDTF">2022-11-21T13:45:24Z</dcterms:created>
  <dcterms:modified xsi:type="dcterms:W3CDTF">2026-05-22T13:12:06Z</dcterms:modified>
</cp:coreProperties>
</file>